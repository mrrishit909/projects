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Historicals" sheetId="3" state="visible" r:id="rId3"/>
    <sheet name="Forecast" sheetId="4" state="visible" r:id="rId4"/>
    <sheet name="DCF" sheetId="5" state="visible" r:id="rId5"/>
    <sheet name="Checks" sheetId="6" state="visible" r:id="rId6"/>
  </sheets>
  <definedNames>
    <definedName name="Scenario">Inputs!$C$4</definedName>
    <definedName name="WACC">Inputs!$C$7</definedName>
    <definedName name="TerminalGrowth">Inputs!$C$8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(#,##0)"/>
    <numFmt numFmtId="166" formatCode="#,##0.0"/>
    <numFmt numFmtId="167" formatCode="0.0000"/>
    <numFmt numFmtId="168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000FF"/>
    </font>
    <font>
      <color rgb="00000000"/>
    </font>
    <font>
      <b val="1"/>
      <color rgb="00FFFFFF"/>
    </font>
    <font>
      <color rgb="00008000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3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164" fontId="6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165" fontId="2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5" fontId="2" fillId="0" borderId="1" pivotButton="0" quotePrefix="0" xfId="0"/>
    <xf numFmtId="166" fontId="6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8" fontId="2" fillId="0" borderId="0" pivotButton="0" quotePrefix="0" xfId="0"/>
    <xf numFmtId="164" fontId="3" fillId="2" borderId="0" applyAlignment="1" pivotButton="0" quotePrefix="0" xfId="0">
      <alignment horizontal="right"/>
    </xf>
    <xf numFmtId="168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Revenue, $ billions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'Forecast'!C20</f>
            </strRef>
          </tx>
          <spPr>
            <a:solidFill>
              <a:srgbClr val="1F4E79"/>
            </a:solidFill>
            <a:ln>
              <a:noFill/>
              <a:prstDash val="solid"/>
            </a:ln>
          </spPr>
          <cat>
            <numRef>
              <f>'Forecast'!$B$21:$B$30</f>
            </numRef>
          </cat>
          <val>
            <numRef>
              <f>'Forecast'!$C$21:$C$30</f>
            </numRef>
          </val>
        </ser>
        <ser>
          <idx val="1"/>
          <order val="1"/>
          <tx>
            <strRef>
              <f>'Forecast'!D20</f>
            </strRef>
          </tx>
          <spPr>
            <a:solidFill>
              <a:srgbClr val="8FB8E8"/>
            </a:solidFill>
            <a:ln>
              <a:noFill/>
              <a:prstDash val="solid"/>
            </a:ln>
          </spPr>
          <cat>
            <numRef>
              <f>'Forecast'!$B$21:$B$30</f>
            </numRef>
          </cat>
          <val>
            <numRef>
              <f>'Forecast'!$D$21:$D$30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Costco Wholesale: driver-based forecast and DCF</t>
        </is>
      </c>
    </row>
    <row r="3">
      <c r="B3" t="inlineStr">
        <is>
          <t>A modelling exercise built from Costco's SEC filings. Not investment advice: there is no buy/sell view here.</t>
        </is>
      </c>
    </row>
    <row r="4">
      <c r="B4" t="inlineStr"/>
    </row>
    <row r="5">
      <c r="B5" s="2" t="inlineStr">
        <is>
          <t>How to use</t>
        </is>
      </c>
    </row>
    <row r="6">
      <c r="B6" t="inlineStr">
        <is>
          <t>1. Pick a scenario on Inputs!C4 (1 = Base, 2 = Upside, 3 = Downside). Every sheet recalculates.</t>
        </is>
      </c>
    </row>
    <row r="7">
      <c r="B7" t="inlineStr">
        <is>
          <t>2. Change any yellow cell on Inputs (WACC, terminal growth, long-run growth, scenario deltas).</t>
        </is>
      </c>
    </row>
    <row r="8">
      <c r="B8" t="inlineStr">
        <is>
          <t>3. Checks!C3 must say ALL CHECKS PASS.</t>
        </is>
      </c>
    </row>
    <row r="9">
      <c r="B9" t="inlineStr"/>
    </row>
    <row r="10">
      <c r="B10" s="2" t="inlineStr">
        <is>
          <t>Colour key</t>
        </is>
      </c>
    </row>
    <row r="11">
      <c r="B11" t="inlineStr">
        <is>
          <t>Blue = typed-in input or source data   ·   Black = formula   ·   Green = link to another sheet</t>
        </is>
      </c>
    </row>
    <row r="12">
      <c r="B12" t="inlineStr"/>
    </row>
    <row r="13">
      <c r="B13" s="2" t="inlineStr">
        <is>
          <t>Sheets</t>
        </is>
      </c>
    </row>
    <row r="14">
      <c r="B14" t="inlineStr">
        <is>
          <t>Inputs: scenario switch, valuation inputs and the drivers for each scenario</t>
        </is>
      </c>
    </row>
    <row r="15">
      <c r="B15" t="inlineStr">
        <is>
          <t>Historicals: FY2021-FY2025 from the SEC's XBRL data, with the ratios the drivers are built on</t>
        </is>
      </c>
    </row>
    <row r="16">
      <c r="B16" t="inlineStr">
        <is>
          <t>Forecast: FY2026-FY2030 income-statement items and unlevered free cash flow</t>
        </is>
      </c>
    </row>
    <row r="17">
      <c r="B17" t="inlineStr">
        <is>
          <t>DCF: discounted cash flow, enterprise and equity value, and a WACC x growth sensitivity grid</t>
        </is>
      </c>
    </row>
    <row r="18">
      <c r="B18" t="inlineStr">
        <is>
          <t>Checks: the model checks itself</t>
        </is>
      </c>
    </row>
    <row r="19">
      <c r="B19" t="inlineStr"/>
    </row>
    <row r="20">
      <c r="B20" s="2" t="inlineStr">
        <is>
          <t>Source</t>
        </is>
      </c>
    </row>
    <row r="21">
      <c r="B21" t="inlineStr">
        <is>
          <t>SEC EDGAR XBRL company facts for Costco Wholesale Corporation (CIK 0000909832): https://data.sec.gov/api/xbrl/companyfacts/CIK0000909832.json</t>
        </is>
      </c>
    </row>
    <row r="22">
      <c r="B22" t="inlineStr">
        <is>
          <t>$ millions unless stated; fiscal years end around 31 August (FY2023 had 53 weeks).</t>
        </is>
      </c>
    </row>
    <row r="23">
      <c r="B23" t="inlineStr">
        <is>
          <t>Simplifications: end-of-year discounting, operating leases left out of net debt, interest income left out of EBIT.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Inputs and scenario drivers</t>
        </is>
      </c>
    </row>
    <row r="4">
      <c r="B4" s="2" t="inlineStr">
        <is>
          <t>Scenario (1 Base, 2 Upside, 3 Downside)</t>
        </is>
      </c>
      <c r="C4" s="3" t="n">
        <v>1</v>
      </c>
      <c r="D4" s="4">
        <f>CHOOSE(C4,"Base","Upside","Downside")</f>
        <v/>
      </c>
    </row>
    <row r="6">
      <c r="B6" s="2" t="inlineStr">
        <is>
          <t>Valuation</t>
        </is>
      </c>
    </row>
    <row r="7">
      <c r="B7" s="4" t="inlineStr">
        <is>
          <t>WACC (discount rate)</t>
        </is>
      </c>
      <c r="C7" s="5" t="n">
        <v>0.08</v>
      </c>
    </row>
    <row r="8">
      <c r="B8" s="4" t="inlineStr">
        <is>
          <t>Terminal growth after FY2030</t>
        </is>
      </c>
      <c r="C8" s="5" t="n">
        <v>0.03</v>
      </c>
    </row>
    <row r="10">
      <c r="B10" s="6" t="inlineStr">
        <is>
          <t>Driver</t>
        </is>
      </c>
      <c r="C10" s="7" t="inlineStr">
        <is>
          <t>Base</t>
        </is>
      </c>
      <c r="D10" s="7" t="inlineStr">
        <is>
          <t>Upside</t>
        </is>
      </c>
      <c r="E10" s="7" t="inlineStr">
        <is>
          <t>Downside</t>
        </is>
      </c>
      <c r="F10" s="7" t="inlineStr">
        <is>
          <t>Live</t>
        </is>
      </c>
      <c r="G10" s="7" t="inlineStr">
        <is>
          <t>Upside Δ</t>
        </is>
      </c>
      <c r="H10" s="7" t="inlineStr">
        <is>
          <t>Downside Δ</t>
        </is>
      </c>
    </row>
    <row r="11">
      <c r="B11" s="4" t="inlineStr">
        <is>
          <t>FY2026 revenue growth</t>
        </is>
      </c>
      <c r="C11" s="8">
        <f>Historicals!H27</f>
        <v/>
      </c>
      <c r="D11" s="9">
        <f>C11+G11</f>
        <v/>
      </c>
      <c r="E11" s="9">
        <f>C11+H11</f>
        <v/>
      </c>
      <c r="F11" s="10">
        <f>CHOOSE($C$4,C11,D11,E11)</f>
        <v/>
      </c>
      <c r="G11" s="5" t="n">
        <v>0.02</v>
      </c>
      <c r="H11" s="5" t="n">
        <v>-0.03</v>
      </c>
    </row>
    <row r="12">
      <c r="B12" s="4" t="inlineStr">
        <is>
          <t>FY2030 revenue growth (fades in a straight line)</t>
        </is>
      </c>
      <c r="C12" s="5" t="n">
        <v>0.04</v>
      </c>
      <c r="D12" s="9">
        <f>C12+G12</f>
        <v/>
      </c>
      <c r="E12" s="9">
        <f>C12+H12</f>
        <v/>
      </c>
      <c r="F12" s="10">
        <f>CHOOSE($C$4,C12,D12,E12)</f>
        <v/>
      </c>
      <c r="G12" s="5" t="n">
        <v>0.01</v>
      </c>
      <c r="H12" s="5" t="n">
        <v>-0.015</v>
      </c>
    </row>
    <row r="13">
      <c r="B13" s="4" t="inlineStr">
        <is>
          <t>Gross margin</t>
        </is>
      </c>
      <c r="C13" s="8">
        <f>Historicals!H28</f>
        <v/>
      </c>
      <c r="D13" s="9">
        <f>C13+G13</f>
        <v/>
      </c>
      <c r="E13" s="9">
        <f>C13+H13</f>
        <v/>
      </c>
      <c r="F13" s="10">
        <f>CHOOSE($C$4,C13,D13,E13)</f>
        <v/>
      </c>
      <c r="G13" s="5" t="n">
        <v>0.002</v>
      </c>
      <c r="H13" s="5" t="n">
        <v>-0.003</v>
      </c>
    </row>
    <row r="14">
      <c r="B14" s="4" t="inlineStr">
        <is>
          <t>SG&amp;A % of revenue</t>
        </is>
      </c>
      <c r="C14" s="8">
        <f>Historicals!H29</f>
        <v/>
      </c>
      <c r="D14" s="9">
        <f>C14+G14</f>
        <v/>
      </c>
      <c r="E14" s="9">
        <f>C14+H14</f>
        <v/>
      </c>
      <c r="F14" s="10">
        <f>CHOOSE($C$4,C14,D14,E14)</f>
        <v/>
      </c>
      <c r="G14" s="5" t="n">
        <v>-0.001</v>
      </c>
      <c r="H14" s="5" t="n">
        <v>0.002</v>
      </c>
    </row>
    <row r="15">
      <c r="B15" s="4" t="inlineStr">
        <is>
          <t>D&amp;A % of revenue</t>
        </is>
      </c>
      <c r="C15" s="8">
        <f>Historicals!H32</f>
        <v/>
      </c>
      <c r="D15" s="9">
        <f>C15+G15</f>
        <v/>
      </c>
      <c r="E15" s="9">
        <f>C15+H15</f>
        <v/>
      </c>
      <c r="F15" s="10">
        <f>CHOOSE($C$4,C15,D15,E15)</f>
        <v/>
      </c>
      <c r="G15" s="5" t="n">
        <v>0</v>
      </c>
      <c r="H15" s="5" t="n">
        <v>0</v>
      </c>
    </row>
    <row r="16">
      <c r="B16" s="4" t="inlineStr">
        <is>
          <t>Capex % of revenue</t>
        </is>
      </c>
      <c r="C16" s="8">
        <f>Historicals!H33</f>
        <v/>
      </c>
      <c r="D16" s="9">
        <f>C16+G16</f>
        <v/>
      </c>
      <c r="E16" s="9">
        <f>C16+H16</f>
        <v/>
      </c>
      <c r="F16" s="10">
        <f>CHOOSE($C$4,C16,D16,E16)</f>
        <v/>
      </c>
      <c r="G16" s="5" t="n">
        <v>0</v>
      </c>
      <c r="H16" s="5" t="n">
        <v>0</v>
      </c>
    </row>
    <row r="17">
      <c r="B17" s="4" t="inlineStr">
        <is>
          <t>Net working capital % of revenue</t>
        </is>
      </c>
      <c r="C17" s="8">
        <f>Historicals!H35</f>
        <v/>
      </c>
      <c r="D17" s="9">
        <f>C17+G17</f>
        <v/>
      </c>
      <c r="E17" s="9">
        <f>C17+H17</f>
        <v/>
      </c>
      <c r="F17" s="10">
        <f>CHOOSE($C$4,C17,D17,E17)</f>
        <v/>
      </c>
      <c r="G17" s="5" t="n">
        <v>0</v>
      </c>
      <c r="H17" s="5" t="n">
        <v>0</v>
      </c>
    </row>
    <row r="18">
      <c r="B18" s="4" t="inlineStr">
        <is>
          <t>Tax rate on operating income</t>
        </is>
      </c>
      <c r="C18" s="8">
        <f>Historicals!H31</f>
        <v/>
      </c>
      <c r="D18" s="9">
        <f>C18+G18</f>
        <v/>
      </c>
      <c r="E18" s="9">
        <f>C18+H18</f>
        <v/>
      </c>
      <c r="F18" s="10">
        <f>CHOOSE($C$4,C18,D18,E18)</f>
        <v/>
      </c>
      <c r="G18" s="5" t="n">
        <v>0</v>
      </c>
      <c r="H18" s="5" t="n">
        <v>0</v>
      </c>
    </row>
    <row r="20">
      <c r="B20" s="11" t="inlineStr">
        <is>
          <t>Base margins and ratios are the FY2023-25 averages on Historicals; growth starts at the FY2022-25 CAGR.</t>
        </is>
      </c>
    </row>
  </sheetData>
  <dataValidations count="1">
    <dataValidation sqref="C4" showDropDown="0" showInputMessage="1" showErrorMessage="1" allowBlank="0" error="Enter 1, 2 or 3" prompt="1 = Base, 2 = Upside, 3 = Downside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Historicals ($ millions, fiscal years)</t>
        </is>
      </c>
    </row>
    <row r="3">
      <c r="B3" s="6" t="inlineStr"/>
      <c r="C3" s="7" t="inlineStr">
        <is>
          <t>FY2021</t>
        </is>
      </c>
      <c r="D3" s="7" t="inlineStr">
        <is>
          <t>FY2022</t>
        </is>
      </c>
      <c r="E3" s="7" t="inlineStr">
        <is>
          <t>FY2023</t>
        </is>
      </c>
      <c r="F3" s="7" t="inlineStr">
        <is>
          <t>FY2024</t>
        </is>
      </c>
      <c r="G3" s="7" t="inlineStr">
        <is>
          <t>FY2025</t>
        </is>
      </c>
      <c r="H3" s="7" t="inlineStr">
        <is>
          <t>3-yr avg</t>
        </is>
      </c>
    </row>
    <row r="4">
      <c r="B4" s="4" t="inlineStr">
        <is>
          <t>Revenue</t>
        </is>
      </c>
      <c r="C4" s="12" t="n">
        <v>195929</v>
      </c>
      <c r="D4" s="12" t="n">
        <v>226954</v>
      </c>
      <c r="E4" s="12" t="n">
        <v>242290</v>
      </c>
      <c r="F4" s="12" t="n">
        <v>254453</v>
      </c>
      <c r="G4" s="12" t="n">
        <v>275235</v>
      </c>
    </row>
    <row r="5">
      <c r="B5" s="4" t="inlineStr">
        <is>
          <t>Cost of goods sold</t>
        </is>
      </c>
      <c r="C5" s="12" t="n">
        <v>170684</v>
      </c>
      <c r="D5" s="12" t="n">
        <v>199382</v>
      </c>
      <c r="E5" s="12" t="n">
        <v>212586</v>
      </c>
      <c r="F5" s="12" t="n">
        <v>222358</v>
      </c>
      <c r="G5" s="12" t="n">
        <v>239886</v>
      </c>
    </row>
    <row r="6">
      <c r="B6" s="2" t="inlineStr">
        <is>
          <t>Gross profit</t>
        </is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B7" s="4" t="inlineStr">
        <is>
          <t>SG&amp;A</t>
        </is>
      </c>
      <c r="C7" s="12" t="n">
        <v>18537</v>
      </c>
      <c r="D7" s="12" t="n">
        <v>19779</v>
      </c>
      <c r="E7" s="12" t="n">
        <v>21590</v>
      </c>
      <c r="F7" s="12" t="n">
        <v>22810</v>
      </c>
      <c r="G7" s="12" t="n">
        <v>24966</v>
      </c>
    </row>
    <row r="8">
      <c r="B8" s="2" t="inlineStr">
        <is>
          <t>Operating income (calculated)</t>
        </is>
      </c>
      <c r="C8" s="13">
        <f>C6-C7</f>
        <v/>
      </c>
      <c r="D8" s="13">
        <f>D6-D7</f>
        <v/>
      </c>
      <c r="E8" s="13">
        <f>E6-E7</f>
        <v/>
      </c>
      <c r="F8" s="13">
        <f>F6-F7</f>
        <v/>
      </c>
      <c r="G8" s="13">
        <f>G6-G7</f>
        <v/>
      </c>
    </row>
    <row r="9">
      <c r="B9" s="4" t="inlineStr">
        <is>
          <t>Operating income (reported)</t>
        </is>
      </c>
      <c r="C9" s="12" t="n">
        <v>6708</v>
      </c>
      <c r="D9" s="12" t="n">
        <v>7793</v>
      </c>
      <c r="E9" s="12" t="n">
        <v>8114</v>
      </c>
      <c r="F9" s="12" t="n">
        <v>9285</v>
      </c>
      <c r="G9" s="12" t="n">
        <v>10383</v>
      </c>
    </row>
    <row r="10">
      <c r="B10" s="4" t="inlineStr">
        <is>
          <t>Pretax income</t>
        </is>
      </c>
      <c r="C10" s="12" t="n">
        <v>6680</v>
      </c>
      <c r="D10" s="12" t="n">
        <v>7840</v>
      </c>
      <c r="E10" s="12" t="n">
        <v>8487</v>
      </c>
      <c r="F10" s="12" t="n">
        <v>9740</v>
      </c>
      <c r="G10" s="12" t="n">
        <v>10818</v>
      </c>
    </row>
    <row r="11">
      <c r="B11" s="4" t="inlineStr">
        <is>
          <t>Income tax</t>
        </is>
      </c>
      <c r="C11" s="12" t="n">
        <v>1601</v>
      </c>
      <c r="D11" s="12" t="n">
        <v>1925</v>
      </c>
      <c r="E11" s="12" t="n">
        <v>2195</v>
      </c>
      <c r="F11" s="12" t="n">
        <v>2373</v>
      </c>
      <c r="G11" s="12" t="n">
        <v>2719</v>
      </c>
    </row>
    <row r="12">
      <c r="B12" s="4" t="inlineStr">
        <is>
          <t>Net income</t>
        </is>
      </c>
      <c r="C12" s="12" t="n">
        <v>5007</v>
      </c>
      <c r="D12" s="12" t="n">
        <v>5844</v>
      </c>
      <c r="E12" s="12" t="n">
        <v>6292</v>
      </c>
      <c r="F12" s="12" t="n">
        <v>7367</v>
      </c>
      <c r="G12" s="12" t="n">
        <v>8099</v>
      </c>
    </row>
    <row r="13">
      <c r="B13" s="4" t="inlineStr">
        <is>
          <t>D&amp;A</t>
        </is>
      </c>
      <c r="C13" s="12" t="n">
        <v>1781</v>
      </c>
      <c r="D13" s="12" t="n">
        <v>1900</v>
      </c>
      <c r="E13" s="12" t="n">
        <v>2077</v>
      </c>
      <c r="F13" s="12" t="n">
        <v>2237</v>
      </c>
      <c r="G13" s="12" t="n">
        <v>2426</v>
      </c>
    </row>
    <row r="14">
      <c r="B14" s="4" t="inlineStr">
        <is>
          <t>Capex</t>
        </is>
      </c>
      <c r="C14" s="12" t="n">
        <v>3588</v>
      </c>
      <c r="D14" s="12" t="n">
        <v>3891</v>
      </c>
      <c r="E14" s="12" t="n">
        <v>4323</v>
      </c>
      <c r="F14" s="12" t="n">
        <v>4710</v>
      </c>
      <c r="G14" s="12" t="n">
        <v>5498</v>
      </c>
    </row>
    <row r="15">
      <c r="B15" s="4" t="inlineStr">
        <is>
          <t>Operating cash flow</t>
        </is>
      </c>
      <c r="C15" s="12" t="n">
        <v>8958</v>
      </c>
      <c r="D15" s="12" t="n">
        <v>7392</v>
      </c>
      <c r="E15" s="12" t="n">
        <v>11068</v>
      </c>
      <c r="F15" s="12" t="n">
        <v>11339</v>
      </c>
      <c r="G15" s="12" t="n">
        <v>13335</v>
      </c>
    </row>
    <row r="16">
      <c r="B16" s="4" t="inlineStr">
        <is>
          <t>Diluted shares (millions)</t>
        </is>
      </c>
      <c r="C16" s="12" t="n">
        <v>444.346</v>
      </c>
      <c r="D16" s="12" t="n">
        <v>444.757</v>
      </c>
      <c r="E16" s="12" t="n">
        <v>444.452</v>
      </c>
      <c r="F16" s="12" t="n">
        <v>444.759</v>
      </c>
      <c r="G16" s="12" t="n">
        <v>444.803</v>
      </c>
    </row>
    <row r="17">
      <c r="B17" s="11" t="inlineStr">
        <is>
          <t>Balance sheet at year end</t>
        </is>
      </c>
    </row>
    <row r="18">
      <c r="B18" s="4" t="inlineStr">
        <is>
          <t>Cash and equivalents</t>
        </is>
      </c>
      <c r="C18" s="12" t="n">
        <v>11258</v>
      </c>
      <c r="D18" s="12" t="n">
        <v>10203</v>
      </c>
      <c r="E18" s="12" t="n">
        <v>13700</v>
      </c>
      <c r="F18" s="12" t="n">
        <v>9906</v>
      </c>
      <c r="G18" s="12" t="n">
        <v>14161</v>
      </c>
    </row>
    <row r="19">
      <c r="B19" s="4" t="inlineStr">
        <is>
          <t>Short-term investments</t>
        </is>
      </c>
      <c r="C19" s="12" t="n">
        <v>917</v>
      </c>
      <c r="D19" s="12" t="n">
        <v>846</v>
      </c>
      <c r="E19" s="12" t="n">
        <v>1534</v>
      </c>
      <c r="F19" s="12" t="n">
        <v>1238</v>
      </c>
      <c r="G19" s="12" t="n">
        <v>1123</v>
      </c>
    </row>
    <row r="20">
      <c r="B20" s="4" t="inlineStr">
        <is>
          <t>Debt, current</t>
        </is>
      </c>
      <c r="C20" s="12" t="n">
        <v>799</v>
      </c>
      <c r="D20" s="12" t="n">
        <v>73</v>
      </c>
      <c r="E20" s="12" t="n">
        <v>1081</v>
      </c>
      <c r="F20" s="12" t="n">
        <v>103</v>
      </c>
      <c r="G20" s="12" t="n">
        <v>75</v>
      </c>
    </row>
    <row r="21">
      <c r="B21" s="4" t="inlineStr">
        <is>
          <t>Debt, non-current</t>
        </is>
      </c>
      <c r="C21" s="12" t="n">
        <v>6692</v>
      </c>
      <c r="D21" s="12" t="n">
        <v>6484</v>
      </c>
      <c r="E21" s="12" t="n">
        <v>5377</v>
      </c>
      <c r="F21" s="12" t="n">
        <v>5794</v>
      </c>
      <c r="G21" s="12" t="n">
        <v>5713</v>
      </c>
    </row>
    <row r="22">
      <c r="B22" s="4" t="inlineStr">
        <is>
          <t>Inventory</t>
        </is>
      </c>
      <c r="C22" s="12" t="n">
        <v>14215</v>
      </c>
      <c r="D22" s="12" t="n">
        <v>17907</v>
      </c>
      <c r="E22" s="12" t="n">
        <v>16651</v>
      </c>
      <c r="F22" s="12" t="n">
        <v>18647</v>
      </c>
      <c r="G22" s="12" t="n">
        <v>18116</v>
      </c>
    </row>
    <row r="23">
      <c r="B23" s="4" t="inlineStr">
        <is>
          <t>Receivables</t>
        </is>
      </c>
      <c r="C23" s="12" t="n">
        <v>1803</v>
      </c>
      <c r="D23" s="12" t="n">
        <v>2241</v>
      </c>
      <c r="E23" s="12" t="n">
        <v>2285</v>
      </c>
      <c r="F23" s="12" t="n">
        <v>2721</v>
      </c>
      <c r="G23" s="12" t="n">
        <v>3203</v>
      </c>
    </row>
    <row r="24">
      <c r="B24" s="4" t="inlineStr">
        <is>
          <t>Accounts payable</t>
        </is>
      </c>
      <c r="C24" s="12" t="n">
        <v>16278</v>
      </c>
      <c r="D24" s="12" t="n">
        <v>17848</v>
      </c>
      <c r="E24" s="12" t="n">
        <v>17483</v>
      </c>
      <c r="F24" s="12" t="n">
        <v>19421</v>
      </c>
      <c r="G24" s="12" t="n">
        <v>19783</v>
      </c>
    </row>
    <row r="26">
      <c r="B26" s="2" t="inlineStr">
        <is>
          <t>Ratios</t>
        </is>
      </c>
    </row>
    <row r="27">
      <c r="B27" s="4" t="inlineStr">
        <is>
          <t>Revenue growth</t>
        </is>
      </c>
      <c r="D27" s="9">
        <f>D4/C4-1</f>
        <v/>
      </c>
      <c r="E27" s="9">
        <f>E4/D4-1</f>
        <v/>
      </c>
      <c r="F27" s="9">
        <f>F4/E4-1</f>
        <v/>
      </c>
      <c r="G27" s="9">
        <f>G4/F4-1</f>
        <v/>
      </c>
      <c r="H27" s="9">
        <f>(G4/D4)^(1/3)-1</f>
        <v/>
      </c>
      <c r="I27" s="11" t="inlineStr">
        <is>
          <t>CAGR FY2022-25</t>
        </is>
      </c>
    </row>
    <row r="28">
      <c r="B28" s="4" t="inlineStr">
        <is>
          <t>Gross margin</t>
        </is>
      </c>
      <c r="C28" s="9">
        <f>C6/C4</f>
        <v/>
      </c>
      <c r="D28" s="9">
        <f>D6/D4</f>
        <v/>
      </c>
      <c r="E28" s="9">
        <f>E6/E4</f>
        <v/>
      </c>
      <c r="F28" s="9">
        <f>F6/F4</f>
        <v/>
      </c>
      <c r="G28" s="9">
        <f>G6/G4</f>
        <v/>
      </c>
      <c r="H28" s="9">
        <f>AVERAGE(E28:G28)</f>
        <v/>
      </c>
    </row>
    <row r="29">
      <c r="B29" s="4" t="inlineStr">
        <is>
          <t>SG&amp;A % of revenue</t>
        </is>
      </c>
      <c r="C29" s="9">
        <f>C7/C4</f>
        <v/>
      </c>
      <c r="D29" s="9">
        <f>D7/D4</f>
        <v/>
      </c>
      <c r="E29" s="9">
        <f>E7/E4</f>
        <v/>
      </c>
      <c r="F29" s="9">
        <f>F7/F4</f>
        <v/>
      </c>
      <c r="G29" s="9">
        <f>G7/G4</f>
        <v/>
      </c>
      <c r="H29" s="9">
        <f>AVERAGE(E29:G29)</f>
        <v/>
      </c>
    </row>
    <row r="30">
      <c r="B30" s="4" t="inlineStr">
        <is>
          <t>Operating margin</t>
        </is>
      </c>
      <c r="C30" s="9">
        <f>C8/C4</f>
        <v/>
      </c>
      <c r="D30" s="9">
        <f>D8/D4</f>
        <v/>
      </c>
      <c r="E30" s="9">
        <f>E8/E4</f>
        <v/>
      </c>
      <c r="F30" s="9">
        <f>F8/F4</f>
        <v/>
      </c>
      <c r="G30" s="9">
        <f>G8/G4</f>
        <v/>
      </c>
      <c r="H30" s="9">
        <f>AVERAGE(E30:G30)</f>
        <v/>
      </c>
    </row>
    <row r="31">
      <c r="B31" s="4" t="inlineStr">
        <is>
          <t>Tax rate (tax / pretax income)</t>
        </is>
      </c>
      <c r="C31" s="9">
        <f>C11/C10</f>
        <v/>
      </c>
      <c r="D31" s="9">
        <f>D11/D10</f>
        <v/>
      </c>
      <c r="E31" s="9">
        <f>E11/E10</f>
        <v/>
      </c>
      <c r="F31" s="9">
        <f>F11/F10</f>
        <v/>
      </c>
      <c r="G31" s="9">
        <f>G11/G10</f>
        <v/>
      </c>
      <c r="H31" s="9">
        <f>AVERAGE(E31:G31)</f>
        <v/>
      </c>
    </row>
    <row r="32">
      <c r="B32" s="4" t="inlineStr">
        <is>
          <t>D&amp;A % of revenue</t>
        </is>
      </c>
      <c r="C32" s="9">
        <f>C13/C4</f>
        <v/>
      </c>
      <c r="D32" s="9">
        <f>D13/D4</f>
        <v/>
      </c>
      <c r="E32" s="9">
        <f>E13/E4</f>
        <v/>
      </c>
      <c r="F32" s="9">
        <f>F13/F4</f>
        <v/>
      </c>
      <c r="G32" s="9">
        <f>G13/G4</f>
        <v/>
      </c>
      <c r="H32" s="9">
        <f>AVERAGE(E32:G32)</f>
        <v/>
      </c>
    </row>
    <row r="33">
      <c r="B33" s="4" t="inlineStr">
        <is>
          <t>Capex % of revenue</t>
        </is>
      </c>
      <c r="C33" s="9">
        <f>C14/C4</f>
        <v/>
      </c>
      <c r="D33" s="9">
        <f>D14/D4</f>
        <v/>
      </c>
      <c r="E33" s="9">
        <f>E14/E4</f>
        <v/>
      </c>
      <c r="F33" s="9">
        <f>F14/F4</f>
        <v/>
      </c>
      <c r="G33" s="9">
        <f>G14/G4</f>
        <v/>
      </c>
      <c r="H33" s="9">
        <f>AVERAGE(E33:G33)</f>
        <v/>
      </c>
    </row>
    <row r="34">
      <c r="B34" s="4" t="inlineStr">
        <is>
          <t>Net working capital (inv + rec - pay)</t>
        </is>
      </c>
      <c r="C34" s="14">
        <f>C22+C23-C24</f>
        <v/>
      </c>
      <c r="D34" s="14">
        <f>D22+D23-D24</f>
        <v/>
      </c>
      <c r="E34" s="14">
        <f>E22+E23-E24</f>
        <v/>
      </c>
      <c r="F34" s="14">
        <f>F22+F23-F24</f>
        <v/>
      </c>
      <c r="G34" s="14">
        <f>G22+G23-G24</f>
        <v/>
      </c>
    </row>
    <row r="35">
      <c r="B35" s="4" t="inlineStr">
        <is>
          <t>NWC % of revenue</t>
        </is>
      </c>
      <c r="C35" s="9">
        <f>C34/C4</f>
        <v/>
      </c>
      <c r="D35" s="9">
        <f>D34/D4</f>
        <v/>
      </c>
      <c r="E35" s="9">
        <f>E34/E4</f>
        <v/>
      </c>
      <c r="F35" s="9">
        <f>F34/F4</f>
        <v/>
      </c>
      <c r="G35" s="9">
        <f>G34/G4</f>
        <v/>
      </c>
      <c r="H35" s="9">
        <f>AVERAGE(E35:G35)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Forecast ($ millions)</t>
        </is>
      </c>
      <c r="H2" s="15">
        <f>Inputs!D4</f>
        <v/>
      </c>
    </row>
    <row r="3">
      <c r="B3" s="6" t="inlineStr"/>
      <c r="C3" s="7" t="inlineStr">
        <is>
          <t>FY2025A</t>
        </is>
      </c>
      <c r="D3" s="7" t="inlineStr">
        <is>
          <t>FY2026</t>
        </is>
      </c>
      <c r="E3" s="7" t="inlineStr">
        <is>
          <t>FY2027</t>
        </is>
      </c>
      <c r="F3" s="7" t="inlineStr">
        <is>
          <t>FY2028</t>
        </is>
      </c>
      <c r="G3" s="7" t="inlineStr">
        <is>
          <t>FY2029</t>
        </is>
      </c>
      <c r="H3" s="7" t="inlineStr">
        <is>
          <t>FY2030</t>
        </is>
      </c>
    </row>
    <row r="4">
      <c r="B4" s="4" t="inlineStr">
        <is>
          <t>Year</t>
        </is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</row>
    <row r="5">
      <c r="B5" s="4" t="inlineStr">
        <is>
          <t>Revenue growth</t>
        </is>
      </c>
      <c r="D5" s="9">
        <f>Inputs!$F$11+(Inputs!$F$12-Inputs!$F$11)*(D4-1)/4</f>
        <v/>
      </c>
      <c r="E5" s="9">
        <f>Inputs!$F$11+(Inputs!$F$12-Inputs!$F$11)*(E4-1)/4</f>
        <v/>
      </c>
      <c r="F5" s="9">
        <f>Inputs!$F$11+(Inputs!$F$12-Inputs!$F$11)*(F4-1)/4</f>
        <v/>
      </c>
      <c r="G5" s="9">
        <f>Inputs!$F$11+(Inputs!$F$12-Inputs!$F$11)*(G4-1)/4</f>
        <v/>
      </c>
      <c r="H5" s="9">
        <f>Inputs!$F$11+(Inputs!$F$12-Inputs!$F$11)*(H4-1)/4</f>
        <v/>
      </c>
    </row>
    <row r="6">
      <c r="B6" s="2" t="inlineStr">
        <is>
          <t>Revenue</t>
        </is>
      </c>
      <c r="C6" s="16">
        <f>Historicals!G4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</row>
    <row r="7">
      <c r="B7" s="4" t="inlineStr">
        <is>
          <t>Gross profit</t>
        </is>
      </c>
      <c r="D7" s="14">
        <f>D6*Inputs!$F$13</f>
        <v/>
      </c>
      <c r="E7" s="14">
        <f>E6*Inputs!$F$13</f>
        <v/>
      </c>
      <c r="F7" s="14">
        <f>F6*Inputs!$F$13</f>
        <v/>
      </c>
      <c r="G7" s="14">
        <f>G6*Inputs!$F$13</f>
        <v/>
      </c>
      <c r="H7" s="14">
        <f>H6*Inputs!$F$13</f>
        <v/>
      </c>
    </row>
    <row r="8">
      <c r="B8" s="4" t="inlineStr">
        <is>
          <t>SG&amp;A</t>
        </is>
      </c>
      <c r="D8" s="14">
        <f>D6*Inputs!$F$14</f>
        <v/>
      </c>
      <c r="E8" s="14">
        <f>E6*Inputs!$F$14</f>
        <v/>
      </c>
      <c r="F8" s="14">
        <f>F6*Inputs!$F$14</f>
        <v/>
      </c>
      <c r="G8" s="14">
        <f>G6*Inputs!$F$14</f>
        <v/>
      </c>
      <c r="H8" s="14">
        <f>H6*Inputs!$F$14</f>
        <v/>
      </c>
    </row>
    <row r="9">
      <c r="B9" s="2" t="inlineStr">
        <is>
          <t>Operating income (EBIT)</t>
        </is>
      </c>
      <c r="D9" s="13">
        <f>D7-D8</f>
        <v/>
      </c>
      <c r="E9" s="13">
        <f>E7-E8</f>
        <v/>
      </c>
      <c r="F9" s="13">
        <f>F7-F8</f>
        <v/>
      </c>
      <c r="G9" s="13">
        <f>G7-G8</f>
        <v/>
      </c>
      <c r="H9" s="13">
        <f>H7-H8</f>
        <v/>
      </c>
    </row>
    <row r="10">
      <c r="B10" s="4" t="inlineStr">
        <is>
          <t>Tax on EBIT</t>
        </is>
      </c>
      <c r="D10" s="14">
        <f>D9*Inputs!$F$18</f>
        <v/>
      </c>
      <c r="E10" s="14">
        <f>E9*Inputs!$F$18</f>
        <v/>
      </c>
      <c r="F10" s="14">
        <f>F9*Inputs!$F$18</f>
        <v/>
      </c>
      <c r="G10" s="14">
        <f>G9*Inputs!$F$18</f>
        <v/>
      </c>
      <c r="H10" s="14">
        <f>H9*Inputs!$F$18</f>
        <v/>
      </c>
    </row>
    <row r="11">
      <c r="B11" s="4" t="inlineStr">
        <is>
          <t>NOPAT</t>
        </is>
      </c>
      <c r="D11" s="14">
        <f>D9*(1-Inputs!$F$18)</f>
        <v/>
      </c>
      <c r="E11" s="14">
        <f>E9*(1-Inputs!$F$18)</f>
        <v/>
      </c>
      <c r="F11" s="14">
        <f>F9*(1-Inputs!$F$18)</f>
        <v/>
      </c>
      <c r="G11" s="14">
        <f>G9*(1-Inputs!$F$18)</f>
        <v/>
      </c>
      <c r="H11" s="14">
        <f>H9*(1-Inputs!$F$18)</f>
        <v/>
      </c>
    </row>
    <row r="12">
      <c r="B12" s="4" t="inlineStr">
        <is>
          <t>D&amp;A</t>
        </is>
      </c>
      <c r="D12" s="14">
        <f>D6*Inputs!$F$15</f>
        <v/>
      </c>
      <c r="E12" s="14">
        <f>E6*Inputs!$F$15</f>
        <v/>
      </c>
      <c r="F12" s="14">
        <f>F6*Inputs!$F$15</f>
        <v/>
      </c>
      <c r="G12" s="14">
        <f>G6*Inputs!$F$15</f>
        <v/>
      </c>
      <c r="H12" s="14">
        <f>H6*Inputs!$F$15</f>
        <v/>
      </c>
    </row>
    <row r="13">
      <c r="B13" s="4" t="inlineStr">
        <is>
          <t>Capex</t>
        </is>
      </c>
      <c r="D13" s="14">
        <f>D6*Inputs!$F$16</f>
        <v/>
      </c>
      <c r="E13" s="14">
        <f>E6*Inputs!$F$16</f>
        <v/>
      </c>
      <c r="F13" s="14">
        <f>F6*Inputs!$F$16</f>
        <v/>
      </c>
      <c r="G13" s="14">
        <f>G6*Inputs!$F$16</f>
        <v/>
      </c>
      <c r="H13" s="14">
        <f>H6*Inputs!$F$16</f>
        <v/>
      </c>
    </row>
    <row r="14">
      <c r="B14" s="4" t="inlineStr">
        <is>
          <t>Net working capital</t>
        </is>
      </c>
      <c r="C14" s="16">
        <f>Historicals!G34</f>
        <v/>
      </c>
      <c r="D14" s="14">
        <f>D6*Inputs!$F$17</f>
        <v/>
      </c>
      <c r="E14" s="14">
        <f>E6*Inputs!$F$17</f>
        <v/>
      </c>
      <c r="F14" s="14">
        <f>F6*Inputs!$F$17</f>
        <v/>
      </c>
      <c r="G14" s="14">
        <f>G6*Inputs!$F$17</f>
        <v/>
      </c>
      <c r="H14" s="14">
        <f>H6*Inputs!$F$17</f>
        <v/>
      </c>
    </row>
    <row r="15">
      <c r="B15" s="4" t="inlineStr">
        <is>
          <t>Change in NWC</t>
        </is>
      </c>
      <c r="D15" s="14">
        <f>D14-C14</f>
        <v/>
      </c>
      <c r="E15" s="14">
        <f>E14-D14</f>
        <v/>
      </c>
      <c r="F15" s="14">
        <f>F14-E14</f>
        <v/>
      </c>
      <c r="G15" s="14">
        <f>G14-F14</f>
        <v/>
      </c>
      <c r="H15" s="14">
        <f>H14-G14</f>
        <v/>
      </c>
    </row>
    <row r="16">
      <c r="B16" s="2" t="inlineStr">
        <is>
          <t>Unlevered free cash flow</t>
        </is>
      </c>
      <c r="D16" s="17">
        <f>D11+D12-D13-D15</f>
        <v/>
      </c>
      <c r="E16" s="17">
        <f>E11+E12-E13-E15</f>
        <v/>
      </c>
      <c r="F16" s="17">
        <f>F11+F12-F13-F15</f>
        <v/>
      </c>
      <c r="G16" s="17">
        <f>G11+G12-G13-G15</f>
        <v/>
      </c>
      <c r="H16" s="17">
        <f>H11+H12-H13-H15</f>
        <v/>
      </c>
    </row>
    <row r="17">
      <c r="B17" s="4" t="inlineStr">
        <is>
          <t>EBIT margin</t>
        </is>
      </c>
      <c r="D17" s="9">
        <f>D9/D6</f>
        <v/>
      </c>
      <c r="E17" s="9">
        <f>E9/E6</f>
        <v/>
      </c>
      <c r="F17" s="9">
        <f>F9/F6</f>
        <v/>
      </c>
      <c r="G17" s="9">
        <f>G9/G6</f>
        <v/>
      </c>
      <c r="H17" s="9">
        <f>H9/H6</f>
        <v/>
      </c>
    </row>
    <row r="20">
      <c r="B20" s="2" t="inlineStr">
        <is>
          <t>Chart data: revenue ($ billions)</t>
        </is>
      </c>
      <c r="C20" s="2" t="inlineStr">
        <is>
          <t>Actual</t>
        </is>
      </c>
      <c r="D20" s="2" t="inlineStr">
        <is>
          <t>Forecast</t>
        </is>
      </c>
    </row>
    <row r="21">
      <c r="B21" s="4" t="inlineStr">
        <is>
          <t>FY2021</t>
        </is>
      </c>
      <c r="C21" s="18">
        <f>Historicals!C4/1000</f>
        <v/>
      </c>
    </row>
    <row r="22">
      <c r="B22" s="4" t="inlineStr">
        <is>
          <t>FY2022</t>
        </is>
      </c>
      <c r="C22" s="18">
        <f>Historicals!D4/1000</f>
        <v/>
      </c>
    </row>
    <row r="23">
      <c r="B23" s="4" t="inlineStr">
        <is>
          <t>FY2023</t>
        </is>
      </c>
      <c r="C23" s="18">
        <f>Historicals!E4/1000</f>
        <v/>
      </c>
    </row>
    <row r="24">
      <c r="B24" s="4" t="inlineStr">
        <is>
          <t>FY2024</t>
        </is>
      </c>
      <c r="C24" s="18">
        <f>Historicals!F4/1000</f>
        <v/>
      </c>
    </row>
    <row r="25">
      <c r="B25" s="4" t="inlineStr">
        <is>
          <t>FY2025</t>
        </is>
      </c>
      <c r="C25" s="18">
        <f>Historicals!G4/1000</f>
        <v/>
      </c>
    </row>
    <row r="26">
      <c r="B26" s="4" t="inlineStr">
        <is>
          <t>FY2026</t>
        </is>
      </c>
      <c r="D26" s="19">
        <f>D6/1000</f>
        <v/>
      </c>
    </row>
    <row r="27">
      <c r="B27" s="4" t="inlineStr">
        <is>
          <t>FY2027</t>
        </is>
      </c>
      <c r="D27" s="19">
        <f>E6/1000</f>
        <v/>
      </c>
    </row>
    <row r="28">
      <c r="B28" s="4" t="inlineStr">
        <is>
          <t>FY2028</t>
        </is>
      </c>
      <c r="D28" s="19">
        <f>F6/1000</f>
        <v/>
      </c>
    </row>
    <row r="29">
      <c r="B29" s="4" t="inlineStr">
        <is>
          <t>FY2029</t>
        </is>
      </c>
      <c r="D29" s="19">
        <f>G6/1000</f>
        <v/>
      </c>
    </row>
    <row r="30">
      <c r="B30" s="4" t="inlineStr">
        <is>
          <t>FY2030</t>
        </is>
      </c>
      <c r="D30" s="19">
        <f>H6/1000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Discounted cash flow ($ millions)</t>
        </is>
      </c>
      <c r="H2" s="15">
        <f>Inputs!D4</f>
        <v/>
      </c>
    </row>
    <row r="3">
      <c r="B3" s="6" t="inlineStr"/>
      <c r="C3" s="7" t="inlineStr">
        <is>
          <t>FY2026</t>
        </is>
      </c>
      <c r="D3" s="7" t="inlineStr">
        <is>
          <t>FY2027</t>
        </is>
      </c>
      <c r="E3" s="7" t="inlineStr">
        <is>
          <t>FY2028</t>
        </is>
      </c>
      <c r="F3" s="7" t="inlineStr">
        <is>
          <t>FY2029</t>
        </is>
      </c>
      <c r="G3" s="7" t="inlineStr">
        <is>
          <t>FY2030</t>
        </is>
      </c>
    </row>
    <row r="4">
      <c r="B4" s="4" t="inlineStr">
        <is>
          <t>Unlevered free cash flow</t>
        </is>
      </c>
      <c r="C4" s="16">
        <f>Forecast!D16</f>
        <v/>
      </c>
      <c r="D4" s="16">
        <f>Forecast!E16</f>
        <v/>
      </c>
      <c r="E4" s="16">
        <f>Forecast!F16</f>
        <v/>
      </c>
      <c r="F4" s="16">
        <f>Forecast!G16</f>
        <v/>
      </c>
      <c r="G4" s="16">
        <f>Forecast!H16</f>
        <v/>
      </c>
    </row>
    <row r="5">
      <c r="B5" s="4" t="inlineStr">
        <is>
          <t>Discount factor (end of year)</t>
        </is>
      </c>
      <c r="C5" s="20">
        <f>1/(1+Inputs!$C$7)^Forecast!D4</f>
        <v/>
      </c>
      <c r="D5" s="20">
        <f>1/(1+Inputs!$C$7)^Forecast!E4</f>
        <v/>
      </c>
      <c r="E5" s="20">
        <f>1/(1+Inputs!$C$7)^Forecast!F4</f>
        <v/>
      </c>
      <c r="F5" s="20">
        <f>1/(1+Inputs!$C$7)^Forecast!G4</f>
        <v/>
      </c>
      <c r="G5" s="20">
        <f>1/(1+Inputs!$C$7)^Forecast!H4</f>
        <v/>
      </c>
    </row>
    <row r="6">
      <c r="B6" s="4" t="inlineStr">
        <is>
          <t>Present value</t>
        </is>
      </c>
      <c r="C6" s="14">
        <f>C4*C5</f>
        <v/>
      </c>
      <c r="D6" s="14">
        <f>D4*D5</f>
        <v/>
      </c>
      <c r="E6" s="14">
        <f>E4*E5</f>
        <v/>
      </c>
      <c r="F6" s="14">
        <f>F4*F5</f>
        <v/>
      </c>
      <c r="G6" s="14">
        <f>G4*G5</f>
        <v/>
      </c>
    </row>
    <row r="8">
      <c r="B8" s="4" t="inlineStr">
        <is>
          <t>Sum of present values</t>
        </is>
      </c>
      <c r="C8" s="14">
        <f>SUM(C6:G6)</f>
        <v/>
      </c>
    </row>
    <row r="9">
      <c r="B9" s="4" t="inlineStr">
        <is>
          <t>Terminal value at FY2030</t>
        </is>
      </c>
      <c r="C9" s="14">
        <f>G4*(1+Inputs!C8)/(Inputs!C7-Inputs!C8)</f>
        <v/>
      </c>
    </row>
    <row r="10">
      <c r="B10" s="4" t="inlineStr">
        <is>
          <t>Present value of terminal value</t>
        </is>
      </c>
      <c r="C10" s="14">
        <f>C9*G5</f>
        <v/>
      </c>
    </row>
    <row r="11">
      <c r="B11" s="2" t="inlineStr">
        <is>
          <t>Enterprise value</t>
        </is>
      </c>
      <c r="C11" s="13">
        <f>C8+C10</f>
        <v/>
      </c>
    </row>
    <row r="12">
      <c r="B12" s="4" t="inlineStr">
        <is>
          <t>Debt (FY2025)</t>
        </is>
      </c>
      <c r="C12" s="16">
        <f>Historicals!G20+Historicals!G21</f>
        <v/>
      </c>
    </row>
    <row r="13">
      <c r="B13" s="4" t="inlineStr">
        <is>
          <t>Cash and short-term investments (FY2025)</t>
        </is>
      </c>
      <c r="C13" s="16">
        <f>Historicals!G18+Historicals!G19</f>
        <v/>
      </c>
    </row>
    <row r="14">
      <c r="B14" s="4" t="inlineStr">
        <is>
          <t>Net debt</t>
        </is>
      </c>
      <c r="C14" s="14">
        <f>C12-C13</f>
        <v/>
      </c>
    </row>
    <row r="15">
      <c r="B15" s="2" t="inlineStr">
        <is>
          <t>Equity value</t>
        </is>
      </c>
      <c r="C15" s="13">
        <f>C11-C14</f>
        <v/>
      </c>
    </row>
    <row r="16">
      <c r="B16" s="4" t="inlineStr">
        <is>
          <t>Diluted shares (millions, FY2025)</t>
        </is>
      </c>
      <c r="C16" s="16">
        <f>Historicals!G16</f>
        <v/>
      </c>
    </row>
    <row r="17">
      <c r="B17" s="2" t="inlineStr">
        <is>
          <t>Equity value per share ($)</t>
        </is>
      </c>
      <c r="C17" s="21">
        <f>C15/C16</f>
        <v/>
      </c>
    </row>
    <row r="18">
      <c r="B18" s="4" t="inlineStr">
        <is>
          <t>Terminal value share of enterprise value</t>
        </is>
      </c>
      <c r="C18" s="9">
        <f>C10/C11</f>
        <v/>
      </c>
    </row>
    <row r="21">
      <c r="B21" s="2" t="inlineStr">
        <is>
          <t>Sensitivity: equity value per share ($)</t>
        </is>
      </c>
    </row>
    <row r="22">
      <c r="B22" s="11" t="inlineStr">
        <is>
          <t>WACC (down) x terminal growth (across)</t>
        </is>
      </c>
    </row>
    <row r="23">
      <c r="C23" s="5" t="n">
        <v>0.02</v>
      </c>
      <c r="D23" s="5" t="n">
        <v>0.025</v>
      </c>
      <c r="E23" s="5" t="n">
        <v>0.03</v>
      </c>
      <c r="F23" s="5" t="n">
        <v>0.035</v>
      </c>
      <c r="G23" s="5" t="n">
        <v>0.04</v>
      </c>
    </row>
    <row r="24">
      <c r="B24" s="22" t="n">
        <v>0.07000000000000001</v>
      </c>
      <c r="C24" s="23">
        <f>(Forecast!D16/(1+$B24)^1+Forecast!E16/(1+$B24)^2+Forecast!F16/(1+$B24)^3+Forecast!G16/(1+$B24)^4+Forecast!H16/(1+$B24)^5+Forecast!H16*(1+C$23)/($B24-C$23)/(1+$B24)^5-$C$14)/$C$16</f>
        <v/>
      </c>
      <c r="D24" s="23">
        <f>(Forecast!D16/(1+$B24)^1+Forecast!E16/(1+$B24)^2+Forecast!F16/(1+$B24)^3+Forecast!G16/(1+$B24)^4+Forecast!H16/(1+$B24)^5+Forecast!H16*(1+D$23)/($B24-D$23)/(1+$B24)^5-$C$14)/$C$16</f>
        <v/>
      </c>
      <c r="E24" s="23">
        <f>(Forecast!D16/(1+$B24)^1+Forecast!E16/(1+$B24)^2+Forecast!F16/(1+$B24)^3+Forecast!G16/(1+$B24)^4+Forecast!H16/(1+$B24)^5+Forecast!H16*(1+E$23)/($B24-E$23)/(1+$B24)^5-$C$14)/$C$16</f>
        <v/>
      </c>
      <c r="F24" s="23">
        <f>(Forecast!D16/(1+$B24)^1+Forecast!E16/(1+$B24)^2+Forecast!F16/(1+$B24)^3+Forecast!G16/(1+$B24)^4+Forecast!H16/(1+$B24)^5+Forecast!H16*(1+F$23)/($B24-F$23)/(1+$B24)^5-$C$14)/$C$16</f>
        <v/>
      </c>
      <c r="G24" s="23">
        <f>(Forecast!D16/(1+$B24)^1+Forecast!E16/(1+$B24)^2+Forecast!F16/(1+$B24)^3+Forecast!G16/(1+$B24)^4+Forecast!H16/(1+$B24)^5+Forecast!H16*(1+G$23)/($B24-G$23)/(1+$B24)^5-$C$14)/$C$16</f>
        <v/>
      </c>
    </row>
    <row r="25">
      <c r="B25" s="22" t="n">
        <v>0.075</v>
      </c>
      <c r="C25" s="23">
        <f>(Forecast!D16/(1+$B25)^1+Forecast!E16/(1+$B25)^2+Forecast!F16/(1+$B25)^3+Forecast!G16/(1+$B25)^4+Forecast!H16/(1+$B25)^5+Forecast!H16*(1+C$23)/($B25-C$23)/(1+$B25)^5-$C$14)/$C$16</f>
        <v/>
      </c>
      <c r="D25" s="23">
        <f>(Forecast!D16/(1+$B25)^1+Forecast!E16/(1+$B25)^2+Forecast!F16/(1+$B25)^3+Forecast!G16/(1+$B25)^4+Forecast!H16/(1+$B25)^5+Forecast!H16*(1+D$23)/($B25-D$23)/(1+$B25)^5-$C$14)/$C$16</f>
        <v/>
      </c>
      <c r="E25" s="23">
        <f>(Forecast!D16/(1+$B25)^1+Forecast!E16/(1+$B25)^2+Forecast!F16/(1+$B25)^3+Forecast!G16/(1+$B25)^4+Forecast!H16/(1+$B25)^5+Forecast!H16*(1+E$23)/($B25-E$23)/(1+$B25)^5-$C$14)/$C$16</f>
        <v/>
      </c>
      <c r="F25" s="23">
        <f>(Forecast!D16/(1+$B25)^1+Forecast!E16/(1+$B25)^2+Forecast!F16/(1+$B25)^3+Forecast!G16/(1+$B25)^4+Forecast!H16/(1+$B25)^5+Forecast!H16*(1+F$23)/($B25-F$23)/(1+$B25)^5-$C$14)/$C$16</f>
        <v/>
      </c>
      <c r="G25" s="23">
        <f>(Forecast!D16/(1+$B25)^1+Forecast!E16/(1+$B25)^2+Forecast!F16/(1+$B25)^3+Forecast!G16/(1+$B25)^4+Forecast!H16/(1+$B25)^5+Forecast!H16*(1+G$23)/($B25-G$23)/(1+$B25)^5-$C$14)/$C$16</f>
        <v/>
      </c>
    </row>
    <row r="26">
      <c r="B26" s="22" t="n">
        <v>0.08</v>
      </c>
      <c r="C26" s="23">
        <f>(Forecast!D16/(1+$B26)^1+Forecast!E16/(1+$B26)^2+Forecast!F16/(1+$B26)^3+Forecast!G16/(1+$B26)^4+Forecast!H16/(1+$B26)^5+Forecast!H16*(1+C$23)/($B26-C$23)/(1+$B26)^5-$C$14)/$C$16</f>
        <v/>
      </c>
      <c r="D26" s="23">
        <f>(Forecast!D16/(1+$B26)^1+Forecast!E16/(1+$B26)^2+Forecast!F16/(1+$B26)^3+Forecast!G16/(1+$B26)^4+Forecast!H16/(1+$B26)^5+Forecast!H16*(1+D$23)/($B26-D$23)/(1+$B26)^5-$C$14)/$C$16</f>
        <v/>
      </c>
      <c r="E26" s="23">
        <f>(Forecast!D16/(1+$B26)^1+Forecast!E16/(1+$B26)^2+Forecast!F16/(1+$B26)^3+Forecast!G16/(1+$B26)^4+Forecast!H16/(1+$B26)^5+Forecast!H16*(1+E$23)/($B26-E$23)/(1+$B26)^5-$C$14)/$C$16</f>
        <v/>
      </c>
      <c r="F26" s="23">
        <f>(Forecast!D16/(1+$B26)^1+Forecast!E16/(1+$B26)^2+Forecast!F16/(1+$B26)^3+Forecast!G16/(1+$B26)^4+Forecast!H16/(1+$B26)^5+Forecast!H16*(1+F$23)/($B26-F$23)/(1+$B26)^5-$C$14)/$C$16</f>
        <v/>
      </c>
      <c r="G26" s="23">
        <f>(Forecast!D16/(1+$B26)^1+Forecast!E16/(1+$B26)^2+Forecast!F16/(1+$B26)^3+Forecast!G16/(1+$B26)^4+Forecast!H16/(1+$B26)^5+Forecast!H16*(1+G$23)/($B26-G$23)/(1+$B26)^5-$C$14)/$C$16</f>
        <v/>
      </c>
    </row>
    <row r="27">
      <c r="B27" s="22" t="n">
        <v>0.08500000000000001</v>
      </c>
      <c r="C27" s="23">
        <f>(Forecast!D16/(1+$B27)^1+Forecast!E16/(1+$B27)^2+Forecast!F16/(1+$B27)^3+Forecast!G16/(1+$B27)^4+Forecast!H16/(1+$B27)^5+Forecast!H16*(1+C$23)/($B27-C$23)/(1+$B27)^5-$C$14)/$C$16</f>
        <v/>
      </c>
      <c r="D27" s="23">
        <f>(Forecast!D16/(1+$B27)^1+Forecast!E16/(1+$B27)^2+Forecast!F16/(1+$B27)^3+Forecast!G16/(1+$B27)^4+Forecast!H16/(1+$B27)^5+Forecast!H16*(1+D$23)/($B27-D$23)/(1+$B27)^5-$C$14)/$C$16</f>
        <v/>
      </c>
      <c r="E27" s="23">
        <f>(Forecast!D16/(1+$B27)^1+Forecast!E16/(1+$B27)^2+Forecast!F16/(1+$B27)^3+Forecast!G16/(1+$B27)^4+Forecast!H16/(1+$B27)^5+Forecast!H16*(1+E$23)/($B27-E$23)/(1+$B27)^5-$C$14)/$C$16</f>
        <v/>
      </c>
      <c r="F27" s="23">
        <f>(Forecast!D16/(1+$B27)^1+Forecast!E16/(1+$B27)^2+Forecast!F16/(1+$B27)^3+Forecast!G16/(1+$B27)^4+Forecast!H16/(1+$B27)^5+Forecast!H16*(1+F$23)/($B27-F$23)/(1+$B27)^5-$C$14)/$C$16</f>
        <v/>
      </c>
      <c r="G27" s="23">
        <f>(Forecast!D16/(1+$B27)^1+Forecast!E16/(1+$B27)^2+Forecast!F16/(1+$B27)^3+Forecast!G16/(1+$B27)^4+Forecast!H16/(1+$B27)^5+Forecast!H16*(1+G$23)/($B27-G$23)/(1+$B27)^5-$C$14)/$C$16</f>
        <v/>
      </c>
    </row>
    <row r="28">
      <c r="B28" s="22" t="n">
        <v>0.09</v>
      </c>
      <c r="C28" s="23">
        <f>(Forecast!D16/(1+$B28)^1+Forecast!E16/(1+$B28)^2+Forecast!F16/(1+$B28)^3+Forecast!G16/(1+$B28)^4+Forecast!H16/(1+$B28)^5+Forecast!H16*(1+C$23)/($B28-C$23)/(1+$B28)^5-$C$14)/$C$16</f>
        <v/>
      </c>
      <c r="D28" s="23">
        <f>(Forecast!D16/(1+$B28)^1+Forecast!E16/(1+$B28)^2+Forecast!F16/(1+$B28)^3+Forecast!G16/(1+$B28)^4+Forecast!H16/(1+$B28)^5+Forecast!H16*(1+D$23)/($B28-D$23)/(1+$B28)^5-$C$14)/$C$16</f>
        <v/>
      </c>
      <c r="E28" s="23">
        <f>(Forecast!D16/(1+$B28)^1+Forecast!E16/(1+$B28)^2+Forecast!F16/(1+$B28)^3+Forecast!G16/(1+$B28)^4+Forecast!H16/(1+$B28)^5+Forecast!H16*(1+E$23)/($B28-E$23)/(1+$B28)^5-$C$14)/$C$16</f>
        <v/>
      </c>
      <c r="F28" s="23">
        <f>(Forecast!D16/(1+$B28)^1+Forecast!E16/(1+$B28)^2+Forecast!F16/(1+$B28)^3+Forecast!G16/(1+$B28)^4+Forecast!H16/(1+$B28)^5+Forecast!H16*(1+F$23)/($B28-F$23)/(1+$B28)^5-$C$14)/$C$16</f>
        <v/>
      </c>
      <c r="G28" s="23">
        <f>(Forecast!D16/(1+$B28)^1+Forecast!E16/(1+$B28)^2+Forecast!F16/(1+$B28)^3+Forecast!G16/(1+$B28)^4+Forecast!H16/(1+$B28)^5+Forecast!H16*(1+G$23)/($B28-G$23)/(1+$B28)^5-$C$14)/$C$16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72" customWidth="1" min="2" max="2"/>
    <col width="22" customWidth="1" min="3" max="3"/>
  </cols>
  <sheetData>
    <row r="2">
      <c r="B2" s="1" t="inlineStr">
        <is>
          <t>Model checks</t>
        </is>
      </c>
    </row>
    <row r="3">
      <c r="B3" s="2" t="inlineStr">
        <is>
          <t>Overall</t>
        </is>
      </c>
      <c r="C3" s="2">
        <f>IF(AND(C5:C10),"ALL CHECKS PASS","CHECK FAILED")</f>
        <v/>
      </c>
    </row>
    <row r="5">
      <c r="B5" s="4" t="inlineStr">
        <is>
          <t>Operating income: calculated = reported, every year (to $1M)</t>
        </is>
      </c>
      <c r="C5" s="4">
        <f>MAX(ABS(Historicals!C8-Historicals!C9),ABS(Historicals!D8-Historicals!D9),ABS(Historicals!E8-Historicals!E9),ABS(Historicals!F8-Historicals!F9),ABS(Historicals!G8-Historicals!G9))&lt;1</f>
        <v/>
      </c>
    </row>
    <row r="6">
      <c r="B6" s="4" t="inlineStr">
        <is>
          <t>Scenario is 1, 2 or 3</t>
        </is>
      </c>
      <c r="C6" s="4">
        <f>AND(Inputs!C4&gt;=1,Inputs!C4&lt;=3,INT(Inputs!C4)=Inputs!C4)</f>
        <v/>
      </c>
    </row>
    <row r="7">
      <c r="B7" s="4" t="inlineStr">
        <is>
          <t>WACC is above terminal growth</t>
        </is>
      </c>
      <c r="C7" s="4">
        <f>Inputs!C7&gt;Inputs!C8</f>
        <v/>
      </c>
    </row>
    <row r="8">
      <c r="B8" s="4" t="inlineStr">
        <is>
          <t>Sensitivity grid's 8% / 3% cell = DCF result (when those are the live inputs)</t>
        </is>
      </c>
      <c r="C8" s="4">
        <f>IF(AND(Inputs!C7=0.08,Inputs!C8=0.03),ABS(DCF!E26-DCF!C17)&lt;0.005,TRUE)</f>
        <v/>
      </c>
    </row>
    <row r="9">
      <c r="B9" s="4" t="inlineStr">
        <is>
          <t>Forecast revenue grows from FY2025 actual</t>
        </is>
      </c>
      <c r="C9" s="4">
        <f>Forecast!D6&gt;0</f>
        <v/>
      </c>
    </row>
    <row r="10">
      <c r="B10" s="4" t="inlineStr">
        <is>
          <t>Equity value per share is a number</t>
        </is>
      </c>
      <c r="C10" s="4">
        <f>ISNUMBER(DCF!C17)</f>
        <v/>
      </c>
    </row>
  </sheetData>
  <conditionalFormatting sqref="C3">
    <cfRule type="cellIs" priority="1" operator="equal" dxfId="0">
      <formula>"CHECK FAILED"</formula>
    </cfRule>
    <cfRule type="cellIs" priority="2" operator="equal" dxfId="1">
      <formula>"ALL CHECKS PASS"</formula>
    </cfRule>
  </conditionalFormatting>
  <conditionalFormatting sqref="C5:C10">
    <cfRule type="cellIs" priority="3" operator="equal" dxfId="0">
      <formula>FALSE</formula>
    </cfRule>
    <cfRule type="cellIs" priority="4" operator="equal" dxfId="1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2026-10-01T06:34:50Z</dcterms:created>
  <dcterms:modified xsi:type="dcterms:W3CDTF">2026-10-01T06:34:50Z</dcterms:modified>
</cp:coreProperties>
</file>